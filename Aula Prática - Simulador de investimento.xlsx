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i Donato\Documents\"/>
    </mc:Choice>
  </mc:AlternateContent>
  <xr:revisionPtr revIDLastSave="0" documentId="13_ncr:1_{F29B21AF-DF33-40D7-BB3F-4FB73C8073B1}" xr6:coauthVersionLast="47" xr6:coauthVersionMax="47" xr10:uidLastSave="{00000000-0000-0000-0000-000000000000}"/>
  <bookViews>
    <workbookView xWindow="-120" yWindow="-120" windowWidth="20730" windowHeight="11160" xr2:uid="{D8B6C248-73D7-42F3-B92C-75D008B879F2}"/>
  </bookViews>
  <sheets>
    <sheet name="APP" sheetId="1" r:id="rId1"/>
    <sheet name="Dados" sheetId="2" r:id="rId2"/>
  </sheets>
  <definedNames>
    <definedName name="Aporte">APP!$D$18</definedName>
    <definedName name="Dividendos">APP!$D$22</definedName>
    <definedName name="Patrimonio">APP!$D$21</definedName>
    <definedName name="Qtd_anos">APP!$D$19</definedName>
    <definedName name="Rendimento_carteira">APP!$D$12</definedName>
    <definedName name="Salario">APP!$D$11</definedName>
    <definedName name="Taxa_mensal">APP!$D$20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7" i="2" l="1"/>
  <c r="B11" i="2"/>
  <c r="B5" i="2"/>
  <c r="B15" i="2"/>
  <c r="B16" i="2"/>
  <c r="B18" i="2"/>
  <c r="B19" i="2"/>
  <c r="B20" i="2"/>
  <c r="B8" i="2"/>
  <c r="B9" i="2"/>
  <c r="B10" i="2"/>
  <c r="B12" i="2"/>
  <c r="B13" i="2"/>
  <c r="B14" i="2"/>
  <c r="B4" i="2"/>
  <c r="B6" i="2"/>
  <c r="B7" i="2"/>
  <c r="B3" i="2"/>
  <c r="C40" i="1" s="1"/>
  <c r="D40" i="1" s="1"/>
  <c r="C34" i="1"/>
  <c r="C27" i="1"/>
  <c r="D27" i="1" s="1"/>
  <c r="C28" i="1"/>
  <c r="D28" i="1" s="1"/>
  <c r="C29" i="1"/>
  <c r="D29" i="1" s="1"/>
  <c r="C30" i="1"/>
  <c r="D30" i="1" s="1"/>
  <c r="C26" i="1"/>
  <c r="D26" i="1" s="1"/>
  <c r="D21" i="1"/>
  <c r="D22" i="1" s="1"/>
  <c r="D13" i="1"/>
  <c r="C42" i="1" l="1"/>
  <c r="D42" i="1" s="1"/>
  <c r="C41" i="1"/>
  <c r="D41" i="1" s="1"/>
  <c r="C38" i="1"/>
  <c r="D38" i="1" s="1"/>
  <c r="C39" i="1"/>
  <c r="D39" i="1" s="1"/>
  <c r="C43" i="1"/>
  <c r="D43" i="1" s="1"/>
  <c r="D44" i="1" l="1"/>
</calcChain>
</file>

<file path=xl/sharedStrings.xml><?xml version="1.0" encoding="utf-8"?>
<sst xmlns="http://schemas.openxmlformats.org/spreadsheetml/2006/main" count="69" uniqueCount="34">
  <si>
    <t>Inventimento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</si>
  <si>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</si>
  <si>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</si>
  <si>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</si>
  <si>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</si>
  <si>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</si>
  <si>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</si>
  <si>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</si>
  <si>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</si>
  <si>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</si>
  <si>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</si>
  <si>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</si>
  <si>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</si>
  <si>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Configurações</t>
  </si>
  <si>
    <t>Salário</t>
  </si>
  <si>
    <t>Sugestão de inventimento</t>
  </si>
  <si>
    <t>Perfil</t>
  </si>
  <si>
    <t>Agressivo</t>
  </si>
  <si>
    <t>Valor a ser investido por mês</t>
  </si>
  <si>
    <t>Tipo de FII</t>
  </si>
  <si>
    <t>Papel</t>
  </si>
  <si>
    <t>Tijolo</t>
  </si>
  <si>
    <t>Percentual sugerido</t>
  </si>
  <si>
    <t>Valor</t>
  </si>
  <si>
    <t>FOFs</t>
  </si>
  <si>
    <t>Desenvolvimento</t>
  </si>
  <si>
    <t>Hotelaria</t>
  </si>
  <si>
    <t>Conservador</t>
  </si>
  <si>
    <t>Chave</t>
  </si>
  <si>
    <t>%</t>
  </si>
  <si>
    <t>Moderado</t>
  </si>
  <si>
    <t>Hibrido</t>
  </si>
  <si>
    <t>Rendimento da carteira</t>
  </si>
  <si>
    <t>Perfil do investidor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</si>
</sst>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6" formatCode="&quot;R$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  <font>
      <b/>
      <sz val="14"/>
      <color theme="0"/>
      <name val="Aptos Narrow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A033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46">
    <border>
      <left/>
      <right/>
      <top/>
      <bottom/>
      <diagonal/>
    </border>
    <border>
      <left style="thin">
        <color theme="9" tint="-0.249977111117893"/>
      </left>
      <right/>
      <top/>
      <bottom/>
      <diagonal/>
    </border>
    <border>
      <left style="thin">
        <color theme="9" tint="-0.24994659260841701"/>
      </left>
      <right/>
      <top/>
      <bottom/>
      <diagonal/>
    </border>
    <border>
      <left/>
      <right style="thin">
        <color theme="9" tint="-0.2499465926084170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3" tint="-0.499984740745262"/>
      </left>
      <right/>
      <top style="thin">
        <color theme="3" tint="-0.499984740745262"/>
      </top>
      <bottom style="thin">
        <color theme="0" tint="-0.14996795556505021"/>
      </bottom>
      <diagonal/>
    </border>
    <border>
      <left/>
      <right style="thin">
        <color theme="3" tint="-0.499984740745262"/>
      </right>
      <top style="thin">
        <color theme="3" tint="-0.499984740745262"/>
      </top>
      <bottom/>
      <diagonal/>
    </border>
    <border>
      <left style="thin">
        <color theme="3" tint="-0.49998474074526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3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3" tint="-0.499984740745262"/>
      </left>
      <right/>
      <top style="thin">
        <color theme="0" tint="-0.24994659260841701"/>
      </top>
      <bottom style="thin">
        <color theme="3" tint="-0.499984740745262"/>
      </bottom>
      <diagonal/>
    </border>
    <border>
      <left/>
      <right style="thin">
        <color theme="3" tint="-0.499984740745262"/>
      </right>
      <top/>
      <bottom style="thin">
        <color theme="3" tint="-0.499984740745262"/>
      </bottom>
      <diagonal/>
    </border>
    <border>
      <left style="thin">
        <color theme="3" tint="-0.499984740745262"/>
      </left>
      <right/>
      <top style="thin">
        <color theme="3" tint="-0.499984740745262"/>
      </top>
      <bottom style="thin">
        <color theme="0" tint="-0.24994659260841701"/>
      </bottom>
      <diagonal/>
    </border>
    <border>
      <left/>
      <right/>
      <top style="thin">
        <color theme="3" tint="-0.499984740745262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3" tint="-0.499984740745262"/>
      </bottom>
      <diagonal/>
    </border>
    <border>
      <left style="thin">
        <color theme="3" tint="-0.499984740745262"/>
      </left>
      <right style="thin">
        <color theme="0"/>
      </right>
      <top style="thin">
        <color theme="3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3" tint="-0.499984740745262"/>
      </top>
      <bottom style="thin">
        <color theme="0"/>
      </bottom>
      <diagonal/>
    </border>
    <border>
      <left style="thin">
        <color theme="0"/>
      </left>
      <right style="thin">
        <color theme="3" tint="-0.499984740745262"/>
      </right>
      <top style="thin">
        <color theme="3" tint="-0.499984740745262"/>
      </top>
      <bottom style="thin">
        <color theme="0"/>
      </bottom>
      <diagonal/>
    </border>
    <border>
      <left style="thin">
        <color theme="3" tint="-0.49998474074526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3" tint="-0.499984740745262"/>
      </right>
      <top style="thin">
        <color theme="0"/>
      </top>
      <bottom style="thin">
        <color theme="0"/>
      </bottom>
      <diagonal/>
    </border>
    <border>
      <left style="thin">
        <color theme="3" tint="-0.499984740745262"/>
      </left>
      <right style="thin">
        <color theme="0"/>
      </right>
      <top style="thin">
        <color theme="0"/>
      </top>
      <bottom style="thin">
        <color theme="3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3" tint="-0.499984740745262"/>
      </bottom>
      <diagonal/>
    </border>
    <border>
      <left style="thin">
        <color theme="0"/>
      </left>
      <right style="thin">
        <color theme="3" tint="-0.499984740745262"/>
      </right>
      <top style="thin">
        <color theme="0"/>
      </top>
      <bottom style="thin">
        <color theme="3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9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9" tint="-0.249977111117893"/>
      </top>
      <bottom style="thin">
        <color theme="0" tint="-0.24994659260841701"/>
      </bottom>
      <diagonal/>
    </border>
    <border>
      <left/>
      <right/>
      <top style="thin">
        <color theme="3" tint="-0.499984740745262"/>
      </top>
      <bottom style="thin">
        <color theme="0" tint="-0.14996795556505021"/>
      </bottom>
      <diagonal/>
    </border>
    <border>
      <left/>
      <right style="thin">
        <color theme="3" tint="-0.499984740745262"/>
      </right>
      <top style="thin">
        <color theme="3" tint="-0.499984740745262"/>
      </top>
      <bottom style="thin">
        <color theme="0" tint="-0.24994659260841701"/>
      </bottom>
      <diagonal/>
    </border>
    <border>
      <left/>
      <right style="thin">
        <color theme="3" tint="-0.499984740745262"/>
      </right>
      <top style="thin">
        <color theme="0" tint="-0.24994659260841701"/>
      </top>
      <bottom style="thin">
        <color theme="3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/>
      <right/>
      <top style="thin">
        <color theme="4" tint="-0.499984740745262"/>
      </top>
      <bottom/>
      <diagonal/>
    </border>
    <border>
      <left/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/>
      <top/>
      <bottom style="thin">
        <color theme="0" tint="-0.24994659260841701"/>
      </bottom>
      <diagonal/>
    </border>
    <border>
      <left/>
      <right style="thin">
        <color theme="4" tint="-0.499984740745262"/>
      </right>
      <top/>
      <bottom style="thin">
        <color theme="0" tint="-0.24994659260841701"/>
      </bottom>
      <diagonal/>
    </border>
    <border>
      <left style="thin">
        <color theme="4" tint="-0.49998474074526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4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4" tint="-0.499984740745262"/>
      </left>
      <right/>
      <top style="thin">
        <color theme="0" tint="-0.24994659260841701"/>
      </top>
      <bottom/>
      <diagonal/>
    </border>
    <border>
      <left/>
      <right style="thin">
        <color theme="4" tint="-0.499984740745262"/>
      </right>
      <top style="thin">
        <color theme="0" tint="-0.24994659260841701"/>
      </top>
      <bottom/>
      <diagonal/>
    </border>
    <border>
      <left style="thin">
        <color theme="4" tint="-0.499984740745262"/>
      </left>
      <right/>
      <top/>
      <bottom style="thin">
        <color theme="4" tint="-0.499984740745262"/>
      </bottom>
      <diagonal/>
    </border>
    <border>
      <left/>
      <right/>
      <top/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77">
    <xf numFmtId="0" fontId="0" fillId="0" borderId="0" xfId="0"/>
    <xf numFmtId="0" fontId="0" fillId="0" borderId="0" xfId="0" applyBorder="1"/>
    <xf numFmtId="0" fontId="0" fillId="0" borderId="0" xfId="0" applyFill="1" applyAlignment="1">
      <alignment vertical="center"/>
    </xf>
    <xf numFmtId="0" fontId="0" fillId="0" borderId="0" xfId="0" applyFill="1"/>
    <xf numFmtId="0" fontId="4" fillId="0" borderId="0" xfId="0" applyFont="1" applyBorder="1"/>
    <xf numFmtId="8" fontId="0" fillId="0" borderId="0" xfId="0" applyNumberFormat="1" applyBorder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  <xf numFmtId="8" fontId="0" fillId="3" borderId="4" xfId="0" applyNumberForma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9" fontId="0" fillId="0" borderId="0" xfId="1" applyFont="1"/>
    <xf numFmtId="0" fontId="6" fillId="5" borderId="2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/>
    </xf>
    <xf numFmtId="10" fontId="0" fillId="0" borderId="9" xfId="1" applyNumberFormat="1" applyFont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0" fontId="7" fillId="3" borderId="15" xfId="0" applyFont="1" applyFill="1" applyBorder="1"/>
    <xf numFmtId="8" fontId="0" fillId="3" borderId="16" xfId="0" applyNumberFormat="1" applyFill="1" applyBorder="1" applyAlignment="1">
      <alignment horizontal="center"/>
    </xf>
    <xf numFmtId="8" fontId="0" fillId="3" borderId="17" xfId="0" applyNumberFormat="1" applyFill="1" applyBorder="1" applyAlignment="1">
      <alignment horizontal="center"/>
    </xf>
    <xf numFmtId="0" fontId="7" fillId="3" borderId="18" xfId="0" applyFont="1" applyFill="1" applyBorder="1"/>
    <xf numFmtId="8" fontId="0" fillId="3" borderId="19" xfId="0" applyNumberFormat="1" applyFill="1" applyBorder="1" applyAlignment="1">
      <alignment horizontal="center"/>
    </xf>
    <xf numFmtId="0" fontId="7" fillId="3" borderId="20" xfId="0" applyFont="1" applyFill="1" applyBorder="1"/>
    <xf numFmtId="8" fontId="0" fillId="3" borderId="21" xfId="0" applyNumberFormat="1" applyFill="1" applyBorder="1" applyAlignment="1">
      <alignment horizontal="center"/>
    </xf>
    <xf numFmtId="8" fontId="0" fillId="3" borderId="22" xfId="0" applyNumberForma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8" fontId="0" fillId="3" borderId="7" xfId="0" applyNumberFormat="1" applyFill="1" applyBorder="1" applyAlignment="1">
      <alignment horizontal="center"/>
    </xf>
    <xf numFmtId="10" fontId="0" fillId="3" borderId="9" xfId="1" applyNumberFormat="1" applyFont="1" applyFill="1" applyBorder="1" applyAlignment="1">
      <alignment horizontal="center"/>
    </xf>
    <xf numFmtId="8" fontId="0" fillId="3" borderId="11" xfId="0" applyNumberFormat="1" applyFill="1" applyBorder="1" applyAlignment="1">
      <alignment horizontal="center"/>
    </xf>
    <xf numFmtId="0" fontId="3" fillId="6" borderId="0" xfId="2" applyFont="1" applyFill="1" applyBorder="1"/>
    <xf numFmtId="0" fontId="3" fillId="6" borderId="0" xfId="2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0" fillId="0" borderId="23" xfId="0" applyBorder="1"/>
    <xf numFmtId="9" fontId="0" fillId="0" borderId="23" xfId="0" applyNumberFormat="1" applyBorder="1" applyAlignment="1">
      <alignment horizontal="center"/>
    </xf>
    <xf numFmtId="0" fontId="0" fillId="0" borderId="26" xfId="0" applyBorder="1"/>
    <xf numFmtId="9" fontId="0" fillId="0" borderId="26" xfId="0" applyNumberFormat="1" applyBorder="1" applyAlignment="1">
      <alignment horizontal="center"/>
    </xf>
    <xf numFmtId="0" fontId="0" fillId="0" borderId="27" xfId="0" applyBorder="1"/>
    <xf numFmtId="9" fontId="0" fillId="0" borderId="27" xfId="0" applyNumberFormat="1" applyFill="1" applyBorder="1" applyAlignment="1">
      <alignment horizontal="center"/>
    </xf>
    <xf numFmtId="9" fontId="0" fillId="0" borderId="23" xfId="0" applyNumberFormat="1" applyFill="1" applyBorder="1" applyAlignment="1">
      <alignment horizontal="center"/>
    </xf>
    <xf numFmtId="9" fontId="0" fillId="0" borderId="27" xfId="0" applyNumberFormat="1" applyBorder="1" applyAlignment="1">
      <alignment horizontal="center"/>
    </xf>
    <xf numFmtId="9" fontId="0" fillId="0" borderId="25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9" fontId="0" fillId="0" borderId="24" xfId="0" applyNumberFormat="1" applyBorder="1" applyAlignment="1">
      <alignment horizontal="center"/>
    </xf>
    <xf numFmtId="0" fontId="7" fillId="3" borderId="28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8" fontId="0" fillId="0" borderId="2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8" fontId="0" fillId="3" borderId="9" xfId="0" applyNumberFormat="1" applyFill="1" applyBorder="1" applyAlignment="1">
      <alignment horizontal="center"/>
    </xf>
    <xf numFmtId="8" fontId="0" fillId="3" borderId="30" xfId="0" applyNumberFormat="1" applyFill="1" applyBorder="1" applyAlignment="1">
      <alignment horizontal="center"/>
    </xf>
    <xf numFmtId="0" fontId="10" fillId="0" borderId="0" xfId="0" applyFont="1"/>
    <xf numFmtId="0" fontId="4" fillId="4" borderId="31" xfId="0" applyFont="1" applyFill="1" applyBorder="1" applyAlignment="1">
      <alignment horizontal="center"/>
    </xf>
    <xf numFmtId="166" fontId="4" fillId="4" borderId="32" xfId="0" applyNumberFormat="1" applyFont="1" applyFill="1" applyBorder="1" applyAlignment="1">
      <alignment horizontal="center"/>
    </xf>
    <xf numFmtId="0" fontId="4" fillId="4" borderId="33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0" fontId="0" fillId="0" borderId="36" xfId="0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166" fontId="0" fillId="0" borderId="39" xfId="0" applyNumberFormat="1" applyBorder="1" applyAlignment="1">
      <alignment horizontal="center"/>
    </xf>
    <xf numFmtId="0" fontId="4" fillId="4" borderId="40" xfId="0" applyFont="1" applyFill="1" applyBorder="1" applyAlignment="1">
      <alignment horizontal="center"/>
    </xf>
    <xf numFmtId="166" fontId="4" fillId="4" borderId="41" xfId="0" applyNumberFormat="1" applyFont="1" applyFill="1" applyBorder="1" applyAlignment="1">
      <alignment horizontal="center"/>
    </xf>
    <xf numFmtId="166" fontId="4" fillId="4" borderId="42" xfId="0" applyNumberFormat="1" applyFont="1" applyFill="1" applyBorder="1" applyAlignment="1">
      <alignment horizontal="center"/>
    </xf>
    <xf numFmtId="0" fontId="4" fillId="4" borderId="43" xfId="0" applyFont="1" applyFill="1" applyBorder="1"/>
    <xf numFmtId="166" fontId="4" fillId="4" borderId="44" xfId="0" applyNumberFormat="1" applyFont="1" applyFill="1" applyBorder="1" applyAlignment="1">
      <alignment horizontal="center"/>
    </xf>
    <xf numFmtId="166" fontId="4" fillId="4" borderId="45" xfId="0" applyNumberFormat="1" applyFont="1" applyFill="1" applyBorder="1" applyAlignment="1">
      <alignment horizontal="center"/>
    </xf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0A0337"/>
      <color rgb="FFFD74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APP!$C$37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APP!$B$38:$B$43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APP!$C$38:$C$43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E-438E-AD97-D7DB0966CB0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0</xdr:row>
      <xdr:rowOff>118535</xdr:rowOff>
    </xdr:from>
    <xdr:to>
      <xdr:col>2</xdr:col>
      <xdr:colOff>266700</xdr:colOff>
      <xdr:row>2</xdr:row>
      <xdr:rowOff>175685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0F20FF6-B033-DECE-2EE6-48CE397465B1}"/>
            </a:ext>
          </a:extLst>
        </xdr:cNvPr>
        <xdr:cNvSpPr txBox="1"/>
      </xdr:nvSpPr>
      <xdr:spPr>
        <a:xfrm>
          <a:off x="1175808" y="118535"/>
          <a:ext cx="1577975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>
              <a:solidFill>
                <a:schemeClr val="bg1"/>
              </a:solidFill>
            </a:rPr>
            <a:t>LD Invest</a:t>
          </a:r>
        </a:p>
      </xdr:txBody>
    </xdr:sp>
    <xdr:clientData/>
  </xdr:twoCellAnchor>
  <xdr:twoCellAnchor>
    <xdr:from>
      <xdr:col>0</xdr:col>
      <xdr:colOff>349251</xdr:colOff>
      <xdr:row>44</xdr:row>
      <xdr:rowOff>152399</xdr:rowOff>
    </xdr:from>
    <xdr:to>
      <xdr:col>3</xdr:col>
      <xdr:colOff>878420</xdr:colOff>
      <xdr:row>55</xdr:row>
      <xdr:rowOff>190499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35CDC90-B5D1-BE16-6B12-6EFFE0461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21168</xdr:colOff>
      <xdr:row>0</xdr:row>
      <xdr:rowOff>84666</xdr:rowOff>
    </xdr:from>
    <xdr:to>
      <xdr:col>4</xdr:col>
      <xdr:colOff>21167</xdr:colOff>
      <xdr:row>6</xdr:row>
      <xdr:rowOff>31749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DFA4B737-3D12-87DC-F4C3-0758F01D6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168" y="84666"/>
          <a:ext cx="4402666" cy="1090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04C6F-1FAA-487D-AD19-D416131C79CC}">
  <dimension ref="A1:H65"/>
  <sheetViews>
    <sheetView showGridLines="0" tabSelected="1" zoomScale="90" zoomScaleNormal="90" workbookViewId="0">
      <selection activeCell="A58" sqref="A58:XFD1048576"/>
    </sheetView>
  </sheetViews>
  <sheetFormatPr defaultColWidth="0" defaultRowHeight="15" zeroHeight="1" x14ac:dyDescent="0.25"/>
  <cols>
    <col min="1" max="1" width="5.7109375" customWidth="1"/>
    <col min="2" max="2" width="33.5703125" customWidth="1"/>
    <col min="3" max="3" width="18.85546875" customWidth="1"/>
    <col min="4" max="4" width="13.42578125" customWidth="1"/>
    <col min="5" max="5" width="7.7109375" customWidth="1"/>
    <col min="6" max="6" width="2.7109375" hidden="1" customWidth="1"/>
    <col min="7" max="7" width="3.140625" hidden="1" customWidth="1"/>
    <col min="8" max="8" width="3.7109375" hidden="1" customWidth="1"/>
    <col min="9" max="11" width="9.140625" hidden="1" customWidth="1"/>
    <col min="12" max="16384" width="9.140625" hidden="1"/>
  </cols>
  <sheetData>
    <row r="1" spans="2:5" x14ac:dyDescent="0.25"/>
    <row r="2" spans="2:5" s="3" customFormat="1" x14ac:dyDescent="0.25">
      <c r="B2" s="2"/>
      <c r="C2" s="2"/>
      <c r="D2" s="2"/>
      <c r="E2" s="2"/>
    </row>
    <row r="3" spans="2:5" s="3" customFormat="1" x14ac:dyDescent="0.25">
      <c r="C3" s="2"/>
      <c r="D3" s="2"/>
      <c r="E3" s="2"/>
    </row>
    <row r="4" spans="2:5" x14ac:dyDescent="0.25"/>
    <row r="5" spans="2:5" x14ac:dyDescent="0.25"/>
    <row r="6" spans="2:5" x14ac:dyDescent="0.25"/>
    <row r="7" spans="2:5" x14ac:dyDescent="0.25"/>
    <row r="8" spans="2:5" x14ac:dyDescent="0.25"/>
    <row r="9" spans="2:5" x14ac:dyDescent="0.25">
      <c r="B9" s="17" t="s">
        <v>13</v>
      </c>
      <c r="C9" s="18"/>
      <c r="D9" s="18"/>
      <c r="E9" s="61"/>
    </row>
    <row r="10" spans="2:5" x14ac:dyDescent="0.25">
      <c r="B10" s="17"/>
      <c r="C10" s="18"/>
      <c r="D10" s="18"/>
    </row>
    <row r="11" spans="2:5" ht="15.75" x14ac:dyDescent="0.25">
      <c r="B11" s="36" t="s">
        <v>14</v>
      </c>
      <c r="C11" s="54"/>
      <c r="D11" s="37">
        <v>6000</v>
      </c>
    </row>
    <row r="12" spans="2:5" ht="15.75" x14ac:dyDescent="0.25">
      <c r="B12" s="19" t="s">
        <v>32</v>
      </c>
      <c r="C12" s="55"/>
      <c r="D12" s="38">
        <v>6.0000000000000001E-3</v>
      </c>
    </row>
    <row r="13" spans="2:5" ht="15.75" x14ac:dyDescent="0.25">
      <c r="B13" s="21" t="s">
        <v>15</v>
      </c>
      <c r="C13" s="56"/>
      <c r="D13" s="39">
        <f>D11*30%</f>
        <v>1800</v>
      </c>
    </row>
    <row r="14" spans="2:5" x14ac:dyDescent="0.25"/>
    <row r="15" spans="2:5" x14ac:dyDescent="0.25"/>
    <row r="16" spans="2:5" ht="15" customHeight="1" x14ac:dyDescent="0.25">
      <c r="B16" s="12" t="s">
        <v>0</v>
      </c>
      <c r="C16" s="13"/>
      <c r="D16" s="13"/>
    </row>
    <row r="17" spans="1:7" ht="15" customHeight="1" x14ac:dyDescent="0.25">
      <c r="B17" s="12"/>
      <c r="C17" s="13"/>
      <c r="D17" s="13"/>
    </row>
    <row r="18" spans="1:7" ht="15.75" x14ac:dyDescent="0.25">
      <c r="B18" s="22" t="s">
        <v>1</v>
      </c>
      <c r="C18" s="23"/>
      <c r="D18" s="57">
        <v>1800</v>
      </c>
    </row>
    <row r="19" spans="1:7" ht="15.75" x14ac:dyDescent="0.25">
      <c r="B19" s="24" t="s">
        <v>2</v>
      </c>
      <c r="C19" s="9"/>
      <c r="D19" s="58">
        <v>5</v>
      </c>
    </row>
    <row r="20" spans="1:7" ht="15.75" x14ac:dyDescent="0.25">
      <c r="B20" s="24" t="s">
        <v>3</v>
      </c>
      <c r="C20" s="9"/>
      <c r="D20" s="20">
        <v>1.0789999999999999E-2</v>
      </c>
    </row>
    <row r="21" spans="1:7" ht="15.75" x14ac:dyDescent="0.25">
      <c r="B21" s="25" t="s">
        <v>4</v>
      </c>
      <c r="C21" s="10"/>
      <c r="D21" s="59">
        <f>FV(Taxa_mensal,Qtd_anos*12,Aporte*-1)</f>
        <v>150798.44519727776</v>
      </c>
    </row>
    <row r="22" spans="1:7" ht="15.75" x14ac:dyDescent="0.25">
      <c r="B22" s="26" t="s">
        <v>5</v>
      </c>
      <c r="C22" s="27"/>
      <c r="D22" s="60">
        <f>D21*1%</f>
        <v>1507.9844519727776</v>
      </c>
    </row>
    <row r="23" spans="1:7" x14ac:dyDescent="0.25">
      <c r="B23" s="4"/>
      <c r="C23" s="5"/>
      <c r="D23" s="1"/>
    </row>
    <row r="24" spans="1:7" x14ac:dyDescent="0.25">
      <c r="B24" s="4"/>
      <c r="C24" s="5"/>
      <c r="D24" s="1"/>
    </row>
    <row r="25" spans="1:7" ht="15" customHeight="1" x14ac:dyDescent="0.25">
      <c r="B25" s="14" t="s">
        <v>11</v>
      </c>
      <c r="C25" s="15"/>
      <c r="D25" s="16" t="s">
        <v>12</v>
      </c>
    </row>
    <row r="26" spans="1:7" ht="15" customHeight="1" x14ac:dyDescent="0.25">
      <c r="A26" s="6">
        <v>2</v>
      </c>
      <c r="B26" s="28" t="s">
        <v>6</v>
      </c>
      <c r="C26" s="29">
        <f>FV(Taxa_mensal,A26*12,Aporte*-1)</f>
        <v>49009.729135761394</v>
      </c>
      <c r="D26" s="30">
        <f>C26*Rendimento_carteira</f>
        <v>294.05837481456837</v>
      </c>
    </row>
    <row r="27" spans="1:7" ht="15.75" x14ac:dyDescent="0.25">
      <c r="A27" s="6">
        <v>5</v>
      </c>
      <c r="B27" s="31" t="s">
        <v>7</v>
      </c>
      <c r="C27" s="8">
        <f>FV(Taxa_mensal,A27*12,Aporte*-1)</f>
        <v>150798.44519727776</v>
      </c>
      <c r="D27" s="32">
        <f>C27*Rendimento_carteira</f>
        <v>904.79067118366663</v>
      </c>
    </row>
    <row r="28" spans="1:7" ht="15.75" x14ac:dyDescent="0.25">
      <c r="A28" s="6">
        <v>10</v>
      </c>
      <c r="B28" s="31" t="s">
        <v>8</v>
      </c>
      <c r="C28" s="8">
        <f>FV(Taxa_mensal,A28*12,Aporte*-1)</f>
        <v>437911.58255430998</v>
      </c>
      <c r="D28" s="32">
        <f>C28*Rendimento_carteira</f>
        <v>2627.46949532586</v>
      </c>
    </row>
    <row r="29" spans="1:7" ht="15.75" x14ac:dyDescent="0.25">
      <c r="A29" s="6">
        <v>20</v>
      </c>
      <c r="B29" s="31" t="s">
        <v>9</v>
      </c>
      <c r="C29" s="8">
        <f>FV(Taxa_mensal,A29*12,Aporte*-1)</f>
        <v>2025357.1201747451</v>
      </c>
      <c r="D29" s="32">
        <f>C29*Rendimento_carteira</f>
        <v>12152.142721048471</v>
      </c>
      <c r="F29" s="1"/>
      <c r="G29" s="1"/>
    </row>
    <row r="30" spans="1:7" ht="15.75" x14ac:dyDescent="0.25">
      <c r="A30" s="6">
        <v>30</v>
      </c>
      <c r="B30" s="33" t="s">
        <v>10</v>
      </c>
      <c r="C30" s="34">
        <f>FV(Taxa_mensal,A30*12,Aporte*-1)</f>
        <v>7779905.3790084859</v>
      </c>
      <c r="D30" s="35">
        <f>C30*Rendimento_carteira</f>
        <v>46679.432274050916</v>
      </c>
    </row>
    <row r="31" spans="1:7" x14ac:dyDescent="0.25"/>
    <row r="32" spans="1:7" x14ac:dyDescent="0.25"/>
    <row r="33" spans="2:4" x14ac:dyDescent="0.25">
      <c r="B33" s="40" t="s">
        <v>33</v>
      </c>
      <c r="C33" s="41" t="s">
        <v>17</v>
      </c>
      <c r="D33" s="41"/>
    </row>
    <row r="34" spans="2:4" x14ac:dyDescent="0.25">
      <c r="B34" s="74" t="s">
        <v>18</v>
      </c>
      <c r="C34" s="75">
        <f>Aporte</f>
        <v>1800</v>
      </c>
      <c r="D34" s="76"/>
    </row>
    <row r="35" spans="2:4" x14ac:dyDescent="0.25"/>
    <row r="36" spans="2:4" x14ac:dyDescent="0.25"/>
    <row r="37" spans="2:4" x14ac:dyDescent="0.25">
      <c r="B37" s="62" t="s">
        <v>19</v>
      </c>
      <c r="C37" s="63" t="s">
        <v>22</v>
      </c>
      <c r="D37" s="64" t="s">
        <v>23</v>
      </c>
    </row>
    <row r="38" spans="2:4" x14ac:dyDescent="0.25">
      <c r="B38" s="65" t="s">
        <v>20</v>
      </c>
      <c r="C38" s="51">
        <f>VLOOKUP($C$33&amp;"-"&amp;B38,Dados!B:E,4,FALSE)</f>
        <v>0.5</v>
      </c>
      <c r="D38" s="66">
        <f>C38*Aporte</f>
        <v>900</v>
      </c>
    </row>
    <row r="39" spans="2:4" x14ac:dyDescent="0.25">
      <c r="B39" s="67" t="s">
        <v>21</v>
      </c>
      <c r="C39" s="52">
        <f>VLOOKUP($C$33&amp;"-"&amp;B39,Dados!B:E,4,FALSE)</f>
        <v>0.1</v>
      </c>
      <c r="D39" s="68">
        <f>C39*Aporte</f>
        <v>180</v>
      </c>
    </row>
    <row r="40" spans="2:4" x14ac:dyDescent="0.25">
      <c r="B40" s="67" t="s">
        <v>31</v>
      </c>
      <c r="C40" s="52">
        <f>VLOOKUP($C$33&amp;"-"&amp;B40,Dados!B:E,4,FALSE)</f>
        <v>0.05</v>
      </c>
      <c r="D40" s="68">
        <f>C40*Aporte</f>
        <v>90</v>
      </c>
    </row>
    <row r="41" spans="2:4" x14ac:dyDescent="0.25">
      <c r="B41" s="67" t="s">
        <v>24</v>
      </c>
      <c r="C41" s="52">
        <f>VLOOKUP($C$33&amp;"-"&amp;B41,Dados!B:E,4,FALSE)</f>
        <v>0.05</v>
      </c>
      <c r="D41" s="68">
        <f>C41*Aporte</f>
        <v>90</v>
      </c>
    </row>
    <row r="42" spans="2:4" x14ac:dyDescent="0.25">
      <c r="B42" s="67" t="s">
        <v>25</v>
      </c>
      <c r="C42" s="52">
        <f>VLOOKUP($C$33&amp;"-"&amp;B42,Dados!B:E,4,FALSE)</f>
        <v>0.2</v>
      </c>
      <c r="D42" s="68">
        <f>C42*Aporte</f>
        <v>360</v>
      </c>
    </row>
    <row r="43" spans="2:4" x14ac:dyDescent="0.25">
      <c r="B43" s="69" t="s">
        <v>26</v>
      </c>
      <c r="C43" s="53">
        <f>VLOOKUP($C$33&amp;"-"&amp;B43,Dados!B:E,4,FALSE)</f>
        <v>0.1</v>
      </c>
      <c r="D43" s="70">
        <f>C43*Aporte</f>
        <v>180</v>
      </c>
    </row>
    <row r="44" spans="2:4" x14ac:dyDescent="0.25">
      <c r="B44" s="71"/>
      <c r="C44" s="72"/>
      <c r="D44" s="73">
        <f>SUM(D38:D43)</f>
        <v>1800</v>
      </c>
    </row>
    <row r="45" spans="2:4" x14ac:dyDescent="0.25"/>
    <row r="46" spans="2:4" x14ac:dyDescent="0.25"/>
    <row r="47" spans="2:4" x14ac:dyDescent="0.25"/>
    <row r="48" spans="2:4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hidden="1" x14ac:dyDescent="0.25"/>
    <row r="59" customFormat="1" hidden="1" x14ac:dyDescent="0.25"/>
    <row r="60" customFormat="1" hidden="1" x14ac:dyDescent="0.25"/>
    <row r="61" customFormat="1" hidden="1" x14ac:dyDescent="0.25"/>
    <row r="62" customFormat="1" hidden="1" x14ac:dyDescent="0.25"/>
    <row r="63" customFormat="1" hidden="1" x14ac:dyDescent="0.25"/>
    <row r="64" customFormat="1" hidden="1" x14ac:dyDescent="0.25"/>
    <row r="65" customFormat="1" hidden="1" x14ac:dyDescent="0.25"/>
  </sheetData>
  <mergeCells count="13">
    <mergeCell ref="B22:C22"/>
    <mergeCell ref="C33:D33"/>
    <mergeCell ref="C34:D34"/>
    <mergeCell ref="B12:C12"/>
    <mergeCell ref="B13:C13"/>
    <mergeCell ref="B19:C19"/>
    <mergeCell ref="B18:C18"/>
    <mergeCell ref="B20:C20"/>
    <mergeCell ref="B21:C21"/>
    <mergeCell ref="B25:C25"/>
    <mergeCell ref="B16:D17"/>
    <mergeCell ref="B9:D10"/>
    <mergeCell ref="B11:C11"/>
  </mergeCells>
  <dataValidations count="1">
    <dataValidation type="list" allowBlank="1" showInputMessage="1" showErrorMessage="1" sqref="C33" xr:uid="{4CD6818E-138E-46AC-BE80-3F8F52F312B5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C8A5-6CAC-46F6-8191-80DDFB81EE09}">
  <dimension ref="B2:H20"/>
  <sheetViews>
    <sheetView showGridLines="0" workbookViewId="0">
      <selection activeCell="I22" sqref="I22"/>
    </sheetView>
  </sheetViews>
  <sheetFormatPr defaultRowHeight="15" x14ac:dyDescent="0.25"/>
  <cols>
    <col min="1" max="1" width="7.140625" customWidth="1"/>
    <col min="2" max="2" width="29.140625" bestFit="1" customWidth="1"/>
    <col min="3" max="3" width="12.140625" bestFit="1" customWidth="1"/>
    <col min="4" max="4" width="16.85546875" bestFit="1" customWidth="1"/>
    <col min="5" max="5" width="9.140625" style="7"/>
    <col min="7" max="7" width="16" bestFit="1" customWidth="1"/>
  </cols>
  <sheetData>
    <row r="2" spans="2:8" x14ac:dyDescent="0.25">
      <c r="B2" s="42" t="s">
        <v>28</v>
      </c>
      <c r="C2" s="42" t="s">
        <v>16</v>
      </c>
      <c r="D2" s="42" t="s">
        <v>19</v>
      </c>
      <c r="E2" s="42" t="s">
        <v>29</v>
      </c>
      <c r="H2" s="11"/>
    </row>
    <row r="3" spans="2:8" x14ac:dyDescent="0.25">
      <c r="B3" s="43" t="str">
        <f>C3&amp;"-"&amp;D3</f>
        <v>Conservador-Papel</v>
      </c>
      <c r="C3" s="43" t="s">
        <v>27</v>
      </c>
      <c r="D3" s="43" t="s">
        <v>20</v>
      </c>
      <c r="E3" s="44">
        <v>0.3</v>
      </c>
    </row>
    <row r="4" spans="2:8" x14ac:dyDescent="0.25">
      <c r="B4" s="43" t="str">
        <f t="shared" ref="B4:B20" si="0">C4&amp;"-"&amp;D4</f>
        <v>Conservador-Tijolo</v>
      </c>
      <c r="C4" s="43" t="s">
        <v>27</v>
      </c>
      <c r="D4" s="43" t="s">
        <v>21</v>
      </c>
      <c r="E4" s="44">
        <v>0.5</v>
      </c>
    </row>
    <row r="5" spans="2:8" x14ac:dyDescent="0.25">
      <c r="B5" s="43" t="str">
        <f t="shared" ref="B5" si="1">C5&amp;"-"&amp;D5</f>
        <v>Conservador-Hibrido</v>
      </c>
      <c r="C5" s="43" t="s">
        <v>27</v>
      </c>
      <c r="D5" s="43" t="s">
        <v>31</v>
      </c>
      <c r="E5" s="44">
        <v>0.1</v>
      </c>
    </row>
    <row r="6" spans="2:8" x14ac:dyDescent="0.25">
      <c r="B6" s="43" t="str">
        <f t="shared" si="0"/>
        <v>Conservador-FOFs</v>
      </c>
      <c r="C6" s="43" t="s">
        <v>27</v>
      </c>
      <c r="D6" s="43" t="s">
        <v>24</v>
      </c>
      <c r="E6" s="44">
        <v>0.1</v>
      </c>
    </row>
    <row r="7" spans="2:8" x14ac:dyDescent="0.25">
      <c r="B7" s="43" t="str">
        <f t="shared" si="0"/>
        <v>Conservador-Desenvolvimento</v>
      </c>
      <c r="C7" s="43" t="s">
        <v>27</v>
      </c>
      <c r="D7" s="43" t="s">
        <v>25</v>
      </c>
      <c r="E7" s="44">
        <v>0</v>
      </c>
    </row>
    <row r="8" spans="2:8" ht="15.75" thickBot="1" x14ac:dyDescent="0.3">
      <c r="B8" s="45" t="str">
        <f t="shared" si="0"/>
        <v>Conservador-Hotelaria</v>
      </c>
      <c r="C8" s="45" t="s">
        <v>27</v>
      </c>
      <c r="D8" s="45" t="s">
        <v>26</v>
      </c>
      <c r="E8" s="46">
        <v>0</v>
      </c>
    </row>
    <row r="9" spans="2:8" x14ac:dyDescent="0.25">
      <c r="B9" s="47" t="str">
        <f t="shared" si="0"/>
        <v>Moderado-Papel</v>
      </c>
      <c r="C9" s="47" t="s">
        <v>30</v>
      </c>
      <c r="D9" s="47" t="s">
        <v>20</v>
      </c>
      <c r="E9" s="48">
        <v>0.32</v>
      </c>
    </row>
    <row r="10" spans="2:8" x14ac:dyDescent="0.25">
      <c r="B10" s="43" t="str">
        <f t="shared" si="0"/>
        <v>Moderado-Tijolo</v>
      </c>
      <c r="C10" s="43" t="s">
        <v>30</v>
      </c>
      <c r="D10" s="43" t="s">
        <v>21</v>
      </c>
      <c r="E10" s="49">
        <v>0.35</v>
      </c>
    </row>
    <row r="11" spans="2:8" x14ac:dyDescent="0.25">
      <c r="B11" s="43" t="str">
        <f t="shared" si="0"/>
        <v>Moderado-Hibrido</v>
      </c>
      <c r="C11" s="43" t="s">
        <v>30</v>
      </c>
      <c r="D11" s="43" t="s">
        <v>31</v>
      </c>
      <c r="E11" s="44">
        <v>0.08</v>
      </c>
    </row>
    <row r="12" spans="2:8" x14ac:dyDescent="0.25">
      <c r="B12" s="43" t="str">
        <f t="shared" si="0"/>
        <v>Moderado-FOFs</v>
      </c>
      <c r="C12" s="43" t="s">
        <v>30</v>
      </c>
      <c r="D12" s="43" t="s">
        <v>24</v>
      </c>
      <c r="E12" s="49">
        <v>0.05</v>
      </c>
    </row>
    <row r="13" spans="2:8" x14ac:dyDescent="0.25">
      <c r="B13" s="43" t="str">
        <f t="shared" si="0"/>
        <v>Moderado-Desenvolvimento</v>
      </c>
      <c r="C13" s="43" t="s">
        <v>30</v>
      </c>
      <c r="D13" s="43" t="s">
        <v>25</v>
      </c>
      <c r="E13" s="49">
        <v>0.1</v>
      </c>
    </row>
    <row r="14" spans="2:8" ht="15.75" thickBot="1" x14ac:dyDescent="0.3">
      <c r="B14" s="45" t="str">
        <f t="shared" si="0"/>
        <v>Moderado-Hotelaria</v>
      </c>
      <c r="C14" s="45" t="s">
        <v>30</v>
      </c>
      <c r="D14" s="45" t="s">
        <v>26</v>
      </c>
      <c r="E14" s="46">
        <v>0.1</v>
      </c>
    </row>
    <row r="15" spans="2:8" x14ac:dyDescent="0.25">
      <c r="B15" s="47" t="str">
        <f t="shared" si="0"/>
        <v>Agressivo-Papel</v>
      </c>
      <c r="C15" s="47" t="s">
        <v>17</v>
      </c>
      <c r="D15" s="47" t="s">
        <v>20</v>
      </c>
      <c r="E15" s="50">
        <v>0.5</v>
      </c>
    </row>
    <row r="16" spans="2:8" x14ac:dyDescent="0.25">
      <c r="B16" s="43" t="str">
        <f t="shared" si="0"/>
        <v>Agressivo-Tijolo</v>
      </c>
      <c r="C16" s="43" t="s">
        <v>17</v>
      </c>
      <c r="D16" s="43" t="s">
        <v>21</v>
      </c>
      <c r="E16" s="44">
        <v>0.1</v>
      </c>
    </row>
    <row r="17" spans="2:5" x14ac:dyDescent="0.25">
      <c r="B17" s="43" t="str">
        <f t="shared" ref="B17" si="2">C17&amp;"-"&amp;D17</f>
        <v>Agressivo-Hibrido</v>
      </c>
      <c r="C17" s="43" t="s">
        <v>17</v>
      </c>
      <c r="D17" s="43" t="s">
        <v>31</v>
      </c>
      <c r="E17" s="44">
        <v>0.05</v>
      </c>
    </row>
    <row r="18" spans="2:5" x14ac:dyDescent="0.25">
      <c r="B18" s="43" t="str">
        <f t="shared" si="0"/>
        <v>Agressivo-FOFs</v>
      </c>
      <c r="C18" s="43" t="s">
        <v>17</v>
      </c>
      <c r="D18" s="43" t="s">
        <v>24</v>
      </c>
      <c r="E18" s="44">
        <v>0.05</v>
      </c>
    </row>
    <row r="19" spans="2:5" x14ac:dyDescent="0.25">
      <c r="B19" s="43" t="str">
        <f t="shared" si="0"/>
        <v>Agressivo-Desenvolvimento</v>
      </c>
      <c r="C19" s="43" t="s">
        <v>17</v>
      </c>
      <c r="D19" s="43" t="s">
        <v>25</v>
      </c>
      <c r="E19" s="44">
        <v>0.2</v>
      </c>
    </row>
    <row r="20" spans="2:5" x14ac:dyDescent="0.25">
      <c r="B20" s="43" t="str">
        <f t="shared" si="0"/>
        <v>Agressivo-Hotelaria</v>
      </c>
      <c r="C20" s="43" t="s">
        <v>17</v>
      </c>
      <c r="D20" s="43" t="s">
        <v>26</v>
      </c>
      <c r="E20" s="4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Dados</vt:lpstr>
      <vt:lpstr>Aporte</vt:lpstr>
      <vt:lpstr>Dividendos</vt:lpstr>
      <vt:lpstr>Patrimonio</vt:lpstr>
      <vt:lpstr>Qtd_anos</vt:lpstr>
      <vt:lpstr>Rendimento_carteira</vt:lpstr>
      <vt:lpstr>Salario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 Donato</dc:creator>
  <cp:lastModifiedBy>Lari Donato</cp:lastModifiedBy>
  <dcterms:created xsi:type="dcterms:W3CDTF">2026-09-15T19:39:27Z</dcterms:created>
  <dcterms:modified xsi:type="dcterms:W3CDTF">2026-09-15T21:51:59Z</dcterms:modified>
</cp:coreProperties>
</file>